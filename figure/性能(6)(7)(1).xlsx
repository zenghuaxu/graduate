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55" firstSheet="1" activeTab="5"/>
  </bookViews>
  <sheets>
    <sheet name="real" sheetId="2" r:id="rId1"/>
    <sheet name="1card-filter" sheetId="4" r:id="rId2"/>
    <sheet name="Sheet2" sheetId="7" r:id="rId3"/>
    <sheet name="2卡" sheetId="5" r:id="rId4"/>
    <sheet name="4卡" sheetId="6" r:id="rId5"/>
    <sheet name="8卡" sheetId="3" r:id="rId6"/>
    <sheet name="Sheet1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<sst xmlns="http://schemas.openxmlformats.org/spreadsheetml/2006/main" count="210" uniqueCount="78">
  <si>
    <t>my 统一打开 set_detect_abnormal，统一 global batch size 256</t>
  </si>
  <si>
    <t xml:space="preserve">最大 micro batch size </t>
  </si>
  <si>
    <t>f-b time</t>
  </si>
  <si>
    <t>optimizer time</t>
  </si>
  <si>
    <t>总时间</t>
  </si>
  <si>
    <t>有效 flops</t>
  </si>
  <si>
    <t>实际 flops</t>
  </si>
  <si>
    <r>
      <rPr>
        <sz val="11"/>
        <color theme="1"/>
        <rFont val="等线"/>
        <charset val="134"/>
        <scheme val="minor"/>
      </rPr>
      <t>peak HBM</t>
    </r>
    <r>
      <rPr>
        <sz val="11"/>
        <color theme="1"/>
        <rFont val="等线"/>
        <charset val="134"/>
        <scheme val="minor"/>
      </rPr>
      <t>/MB</t>
    </r>
  </si>
  <si>
    <t>tokens/s</t>
  </si>
  <si>
    <t>3B-my</t>
  </si>
  <si>
    <r>
      <rPr>
        <sz val="11"/>
        <color theme="1"/>
        <rFont val="等线"/>
        <charset val="134"/>
        <scheme val="minor"/>
      </rPr>
      <t>3B-my</t>
    </r>
    <r>
      <rPr>
        <sz val="11"/>
        <color theme="1"/>
        <rFont val="等线"/>
        <charset val="134"/>
        <scheme val="minor"/>
      </rPr>
      <t>-align</t>
    </r>
  </si>
  <si>
    <t>3B-megatron</t>
  </si>
  <si>
    <t>3B-zero-infinity</t>
  </si>
  <si>
    <t>3B-zero-infinity-dram</t>
  </si>
  <si>
    <t>14B-my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</si>
  <si>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B-my-align</t>
    </r>
  </si>
  <si>
    <t>14B-megatron</t>
  </si>
  <si>
    <t>14B-zero-infinity</t>
  </si>
  <si>
    <r>
      <rPr>
        <sz val="11"/>
        <color theme="1"/>
        <rFont val="等线"/>
        <charset val="134"/>
        <scheme val="minor"/>
      </rPr>
      <t>14B-zero-</t>
    </r>
    <r>
      <rPr>
        <sz val="11"/>
        <color theme="1"/>
        <rFont val="等线"/>
        <charset val="134"/>
        <scheme val="minor"/>
      </rPr>
      <t>infinity-dram</t>
    </r>
  </si>
  <si>
    <t>32B-my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</si>
  <si>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B-my-align</t>
    </r>
  </si>
  <si>
    <t>32B-megatron</t>
  </si>
  <si>
    <t>32B-zero-infinity</t>
  </si>
  <si>
    <r>
      <rPr>
        <sz val="11"/>
        <color theme="1"/>
        <rFont val="等线"/>
        <charset val="134"/>
        <scheme val="minor"/>
      </rPr>
      <t>32B-zero</t>
    </r>
    <r>
      <rPr>
        <sz val="11"/>
        <color theme="1"/>
        <rFont val="等线"/>
        <charset val="134"/>
        <scheme val="minor"/>
      </rPr>
      <t>-infinity-dram</t>
    </r>
  </si>
  <si>
    <t>72B-my</t>
  </si>
  <si>
    <r>
      <rPr>
        <sz val="11"/>
        <color theme="1"/>
        <rFont val="等线"/>
        <charset val="134"/>
        <scheme val="minor"/>
      </rPr>
      <t>7</t>
    </r>
    <r>
      <rPr>
        <sz val="11"/>
        <color theme="1"/>
        <rFont val="等线"/>
        <charset val="134"/>
        <scheme val="minor"/>
      </rPr>
      <t>2B-my-align</t>
    </r>
  </si>
  <si>
    <t>72B-megatron</t>
  </si>
  <si>
    <t>72B-zero-infinity</t>
  </si>
  <si>
    <t>？？？6822.105</t>
  </si>
  <si>
    <r>
      <rPr>
        <sz val="11"/>
        <color theme="1"/>
        <rFont val="等线"/>
        <charset val="134"/>
        <scheme val="minor"/>
      </rPr>
      <t>72B-zero</t>
    </r>
    <r>
      <rPr>
        <sz val="11"/>
        <color theme="1"/>
        <rFont val="等线"/>
        <charset val="134"/>
        <scheme val="minor"/>
      </rPr>
      <t>-infinity-dram</t>
    </r>
  </si>
  <si>
    <r>
      <rPr>
        <sz val="11"/>
        <color theme="1"/>
        <rFont val="等线"/>
        <charset val="134"/>
        <scheme val="minor"/>
      </rPr>
      <t xml:space="preserve">备注 ：14B-4 和 </t>
    </r>
    <r>
      <rPr>
        <sz val="11"/>
        <color theme="1"/>
        <rFont val="等线"/>
        <charset val="134"/>
        <scheme val="minor"/>
      </rPr>
      <t>72B-2 出 bug ，用的是 单个</t>
    </r>
    <r>
      <rPr>
        <sz val="11"/>
        <color theme="1"/>
        <rFont val="等线"/>
        <charset val="134"/>
        <scheme val="minor"/>
      </rPr>
      <t xml:space="preserve"> step 相乘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</si>
  <si>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B-my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</si>
  <si>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B-my-align</t>
    </r>
  </si>
  <si>
    <t>130B-megatron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</si>
  <si>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B-zero-infinity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</si>
  <si>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B-zero-infinity-dram</t>
    </r>
  </si>
  <si>
    <t>W</t>
  </si>
  <si>
    <t>更大dense 模型较少，使用了合成模型， GLM 等比例扩展</t>
  </si>
  <si>
    <t>14B 1 8 673.1852777004242 22.965161085128784 697.1679</t>
  </si>
  <si>
    <t>3B-my-关闭 detect_abnormal</t>
  </si>
  <si>
    <t>14B 8 32 136.7690074443817 29.30820918083191 166.3895</t>
  </si>
  <si>
    <t>32B 1 8 1386.2456798553467 59.09107804298401 1447.1415</t>
  </si>
  <si>
    <t>32B 8 32 247.97037935256958 59.76289987564087 308.277</t>
  </si>
  <si>
    <t>72B 1 4 3142.3803737163544 110.84815645217896 3256.6006</t>
  </si>
  <si>
    <t>3B-zero-offload，剩下全部 oom</t>
  </si>
  <si>
    <t>72B 2 16 1745.4098463058472 113.19377994537354 1863.5612</t>
  </si>
  <si>
    <t>72B 4 32 976.4884407520294 121.5837230682373 1099.5605</t>
  </si>
  <si>
    <t>72B 8 32 482.32822132110596 123.95950412750244 607.4099</t>
  </si>
  <si>
    <t>130B 1 4 7643.333598613739 217.1089208126068 7875.9027</t>
  </si>
  <si>
    <t>130B 2 8 3295.8315229415894 168.61087727546692 3478.4769</t>
  </si>
  <si>
    <t>130B 4 16 1679.6416215896606 199.47780776023865 1881.5667</t>
  </si>
  <si>
    <t>130B 8 16 879.3960056304932 187.9258418083191 1069.1965</t>
  </si>
  <si>
    <t>72B-my-old</t>
  </si>
  <si>
    <t>1679.6416215896606</t>
  </si>
  <si>
    <t>199.47780776023865</t>
  </si>
  <si>
    <r>
      <rPr>
        <sz val="11"/>
        <color theme="1"/>
        <rFont val="等线"/>
        <charset val="134"/>
        <scheme val="minor"/>
      </rPr>
      <t>有效 flops</t>
    </r>
    <r>
      <rPr>
        <sz val="11"/>
        <color theme="1"/>
        <rFont val="等线"/>
        <charset val="134"/>
        <scheme val="minor"/>
      </rPr>
      <t>/rank</t>
    </r>
  </si>
  <si>
    <r>
      <rPr>
        <sz val="11"/>
        <color theme="1"/>
        <rFont val="等线"/>
        <charset val="134"/>
        <scheme val="minor"/>
      </rPr>
      <t>实际 flops</t>
    </r>
    <r>
      <rPr>
        <sz val="11"/>
        <color theme="1"/>
        <rFont val="等线"/>
        <charset val="134"/>
        <scheme val="minor"/>
      </rPr>
      <t>/rank</t>
    </r>
  </si>
  <si>
    <r>
      <rPr>
        <sz val="11"/>
        <color theme="1"/>
        <rFont val="等线"/>
        <charset val="134"/>
        <scheme val="minor"/>
      </rPr>
      <t>p</t>
    </r>
    <r>
      <rPr>
        <sz val="11"/>
        <color theme="1"/>
        <rFont val="等线"/>
        <charset val="134"/>
        <scheme val="minor"/>
      </rPr>
      <t>eak HBM</t>
    </r>
  </si>
  <si>
    <r>
      <rPr>
        <sz val="11"/>
        <color theme="1"/>
        <rFont val="等线"/>
        <charset val="134"/>
        <scheme val="minor"/>
      </rPr>
      <t>7</t>
    </r>
    <r>
      <rPr>
        <sz val="11"/>
        <color theme="1"/>
        <rFont val="等线"/>
        <charset val="134"/>
        <scheme val="minor"/>
      </rPr>
      <t>2B-megatron</t>
    </r>
  </si>
  <si>
    <t>2*8</t>
  </si>
  <si>
    <t>72B-zero-infinity-dram</t>
  </si>
  <si>
    <t>130B-align</t>
  </si>
  <si>
    <t>130B-zero-infinity</t>
  </si>
  <si>
    <t>130B-zero-infinity-NVME</t>
  </si>
  <si>
    <t>GLM-130B： Layers 70 | Hidden 12288 | FFN 32768 | Heads (Q/KV) 96/96 (MHA) | Tie Embedding No | Vocab 150528 | Total 130B</t>
  </si>
  <si>
    <t>最大 micro_batch size</t>
  </si>
  <si>
    <t>f-b 时间</t>
  </si>
  <si>
    <t>optim 时间</t>
  </si>
  <si>
    <t>有效flops</t>
  </si>
  <si>
    <t>1.5B-1.19B my</t>
  </si>
  <si>
    <t>megatron-optim-offload</t>
  </si>
  <si>
    <t>zero infinity</t>
  </si>
  <si>
    <t>14B my</t>
  </si>
  <si>
    <t>zeroinfinity</t>
  </si>
  <si>
    <t>32B my</t>
  </si>
  <si>
    <t>OOM</t>
  </si>
  <si>
    <t>72 B</t>
  </si>
  <si>
    <t>卡死，加 detect 后跑通第一轮，第二轮 event 资源耗尽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</si>
</sst>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.75"/>
      <color theme="1"/>
      <name val="等线"/>
      <charset val="134"/>
      <scheme val="minor"/>
    </font>
    <font>
      <sz val="12"/>
      <color rgb="FF9C5D27"/>
      <name val="Consolas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2" borderId="0" xfId="0" applyFont="1" applyFill="1">
      <alignment vertical="center"/>
    </xf>
    <xf numFmtId="0" fontId="3" fillId="0" borderId="0" xfId="0" applyFon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5" borderId="0" xfId="0" applyFill="1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zoomScale="70" zoomScaleNormal="70" workbookViewId="0">
      <selection activeCell="A5" sqref="$A5:$XFD5"/>
    </sheetView>
  </sheetViews>
  <sheetFormatPr defaultColWidth="9" defaultRowHeight="14.25"/>
  <cols>
    <col min="1" max="1" width="67.125" customWidth="1"/>
    <col min="2" max="2" width="45.5" customWidth="1"/>
    <col min="3" max="3" width="32.75" customWidth="1"/>
    <col min="4" max="5" width="20.625" customWidth="1"/>
    <col min="6" max="6" width="17.375" customWidth="1"/>
    <col min="7" max="7" width="20.625" customWidth="1"/>
    <col min="8" max="8" width="34.125" customWidth="1"/>
    <col min="9" max="9" width="25.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8">
      <c r="A2" t="s">
        <v>9</v>
      </c>
      <c r="B2">
        <v>8</v>
      </c>
      <c r="C2">
        <v>257.762228488922</v>
      </c>
      <c r="D2">
        <v>6.31897807121276</v>
      </c>
      <c r="E2">
        <v>264.4177</v>
      </c>
      <c r="F2">
        <v>80.6</v>
      </c>
      <c r="G2">
        <v>105</v>
      </c>
      <c r="H2">
        <v>61305</v>
      </c>
    </row>
    <row r="3" spans="1:9">
      <c r="A3" t="s">
        <v>10</v>
      </c>
      <c r="B3">
        <v>4</v>
      </c>
      <c r="C3">
        <v>273.387557744979</v>
      </c>
      <c r="D3">
        <v>6.32827806472778</v>
      </c>
      <c r="E3">
        <v>279.9778</v>
      </c>
      <c r="F3">
        <v>76.1</v>
      </c>
      <c r="G3">
        <v>99.2</v>
      </c>
      <c r="H3">
        <v>38863</v>
      </c>
      <c r="I3">
        <f>4096*256/E:E</f>
        <v>3745.21122746161</v>
      </c>
    </row>
    <row r="4" spans="1:9">
      <c r="A4" t="s">
        <v>11</v>
      </c>
      <c r="B4">
        <v>4</v>
      </c>
      <c r="C4">
        <v>256.5718</v>
      </c>
      <c r="D4">
        <v>13.6020121574401</v>
      </c>
      <c r="E4">
        <v>270.2048</v>
      </c>
      <c r="F4">
        <v>78.9</v>
      </c>
      <c r="G4">
        <v>102.8</v>
      </c>
      <c r="H4">
        <v>42183</v>
      </c>
      <c r="I4">
        <f>4096*256/E:E</f>
        <v>3880.67125380452</v>
      </c>
    </row>
    <row r="6" spans="1:9">
      <c r="A6" t="s">
        <v>12</v>
      </c>
      <c r="B6">
        <v>4</v>
      </c>
      <c r="C6">
        <v>358.164</v>
      </c>
      <c r="D6">
        <v>51.9331</v>
      </c>
      <c r="E6">
        <v>410.1271</v>
      </c>
      <c r="H6" s="11"/>
      <c r="I6">
        <f t="shared" ref="I6:I32" si="0">4096*256/E:E</f>
        <v>2556.70985896811</v>
      </c>
    </row>
    <row r="7" spans="1:9">
      <c r="A7" t="s">
        <v>13</v>
      </c>
      <c r="B7">
        <v>4</v>
      </c>
      <c r="C7">
        <v>265.2219</v>
      </c>
      <c r="D7">
        <v>10.5116</v>
      </c>
      <c r="E7">
        <v>275.8021</v>
      </c>
      <c r="H7" s="11">
        <v>41808</v>
      </c>
      <c r="I7">
        <f t="shared" si="0"/>
        <v>3801.91448868591</v>
      </c>
    </row>
    <row r="8" s="5" customFormat="1" spans="9:9">
      <c r="I8" t="e">
        <f t="shared" si="0"/>
        <v>#DIV/0!</v>
      </c>
    </row>
    <row r="9" spans="1:9">
      <c r="A9" t="s">
        <v>14</v>
      </c>
      <c r="B9">
        <v>8</v>
      </c>
      <c r="C9">
        <v>863.366365909576</v>
      </c>
      <c r="D9">
        <v>24.5318801403045</v>
      </c>
      <c r="E9">
        <v>889.4373</v>
      </c>
      <c r="F9">
        <v>106.1</v>
      </c>
      <c r="G9">
        <v>139.7</v>
      </c>
      <c r="H9" s="3">
        <v>63005</v>
      </c>
      <c r="I9">
        <f t="shared" si="0"/>
        <v>1178.92065016837</v>
      </c>
    </row>
    <row r="10" spans="1:9">
      <c r="A10" t="s">
        <v>15</v>
      </c>
      <c r="B10" s="12">
        <v>4</v>
      </c>
      <c r="C10" s="12">
        <v>915.92956161499</v>
      </c>
      <c r="D10" s="12">
        <v>24.3975985050201</v>
      </c>
      <c r="E10" s="12">
        <v>941.215564014</v>
      </c>
      <c r="F10" s="12"/>
      <c r="G10" s="12"/>
      <c r="H10" s="12">
        <v>61087</v>
      </c>
      <c r="I10">
        <f t="shared" si="0"/>
        <v>1114.06572531391</v>
      </c>
    </row>
    <row r="11" spans="1:9">
      <c r="A11" t="s">
        <v>16</v>
      </c>
      <c r="B11">
        <v>0</v>
      </c>
      <c r="I11" t="e">
        <f t="shared" si="0"/>
        <v>#DIV/0!</v>
      </c>
    </row>
    <row r="12" spans="1:9">
      <c r="A12" t="s">
        <v>17</v>
      </c>
      <c r="B12">
        <v>4</v>
      </c>
      <c r="C12">
        <v>1568.8315</v>
      </c>
      <c r="D12">
        <v>220.8584</v>
      </c>
      <c r="E12">
        <v>1789.781</v>
      </c>
      <c r="H12">
        <v>51952</v>
      </c>
      <c r="I12">
        <f t="shared" si="0"/>
        <v>585.868326907035</v>
      </c>
    </row>
    <row r="13" spans="1:9">
      <c r="A13" t="s">
        <v>18</v>
      </c>
      <c r="B13" s="3">
        <v>4</v>
      </c>
      <c r="C13" s="3">
        <v>1031.7101</v>
      </c>
      <c r="D13" s="3">
        <v>53.0824</v>
      </c>
      <c r="E13" s="3">
        <v>1084.8794</v>
      </c>
      <c r="F13" s="3"/>
      <c r="G13" s="3"/>
      <c r="H13" s="3">
        <v>51953</v>
      </c>
      <c r="I13">
        <f t="shared" si="0"/>
        <v>966.536925671185</v>
      </c>
    </row>
    <row r="14" s="5" customFormat="1" spans="9:9">
      <c r="I14" t="e">
        <f t="shared" si="0"/>
        <v>#DIV/0!</v>
      </c>
    </row>
    <row r="15" spans="1:9">
      <c r="A15" t="s">
        <v>19</v>
      </c>
      <c r="B15">
        <v>8</v>
      </c>
      <c r="C15">
        <v>1683.06810760498</v>
      </c>
      <c r="D15">
        <v>53.9114701747894</v>
      </c>
      <c r="E15">
        <v>1739.19</v>
      </c>
      <c r="F15">
        <v>120.6</v>
      </c>
      <c r="G15">
        <v>159.8</v>
      </c>
      <c r="H15" s="11"/>
      <c r="I15">
        <f t="shared" si="0"/>
        <v>602.910550313652</v>
      </c>
    </row>
    <row r="16" spans="1:9">
      <c r="A16" t="s">
        <v>20</v>
      </c>
      <c r="B16">
        <v>4</v>
      </c>
      <c r="C16">
        <v>1832.75341820716</v>
      </c>
      <c r="D16">
        <v>54.0307035446167</v>
      </c>
      <c r="E16">
        <v>1888.4268</v>
      </c>
      <c r="F16">
        <v>111</v>
      </c>
      <c r="G16">
        <v>147.2</v>
      </c>
      <c r="H16" s="11"/>
      <c r="I16">
        <f t="shared" si="0"/>
        <v>555.264307835496</v>
      </c>
    </row>
    <row r="17" spans="1:9">
      <c r="A17" t="s">
        <v>21</v>
      </c>
      <c r="B17">
        <v>0</v>
      </c>
      <c r="I17" t="e">
        <f t="shared" si="0"/>
        <v>#DIV/0!</v>
      </c>
    </row>
    <row r="18" spans="1:9">
      <c r="A18" t="s">
        <v>22</v>
      </c>
      <c r="B18">
        <v>4</v>
      </c>
      <c r="C18" s="6">
        <v>4142.1772</v>
      </c>
      <c r="D18">
        <v>528.5361</v>
      </c>
      <c r="E18">
        <v>4670.7925</v>
      </c>
      <c r="H18">
        <v>54345</v>
      </c>
      <c r="I18">
        <f t="shared" si="0"/>
        <v>224.496378291264</v>
      </c>
    </row>
    <row r="19" spans="1:9">
      <c r="A19" t="s">
        <v>23</v>
      </c>
      <c r="B19" s="3">
        <v>4</v>
      </c>
      <c r="C19" s="3">
        <v>2206.2207</v>
      </c>
      <c r="D19" s="3">
        <v>133.4609</v>
      </c>
      <c r="E19" s="3">
        <v>2339.7781</v>
      </c>
      <c r="F19" s="3"/>
      <c r="G19" s="3"/>
      <c r="H19" s="3">
        <v>56946</v>
      </c>
      <c r="I19">
        <f t="shared" si="0"/>
        <v>448.151899532695</v>
      </c>
    </row>
    <row r="20" s="5" customFormat="1" spans="9:9">
      <c r="I20" t="e">
        <f t="shared" si="0"/>
        <v>#DIV/0!</v>
      </c>
    </row>
    <row r="21" spans="1:9">
      <c r="A21" t="s">
        <v>24</v>
      </c>
      <c r="B21">
        <v>4</v>
      </c>
      <c r="C21">
        <v>3766.99030256271</v>
      </c>
      <c r="D21">
        <v>118.142893314361</v>
      </c>
      <c r="E21">
        <v>3888.2997</v>
      </c>
      <c r="F21">
        <v>120</v>
      </c>
      <c r="G21">
        <v>159.3</v>
      </c>
      <c r="H21" s="11"/>
      <c r="I21">
        <f t="shared" si="0"/>
        <v>269.67468582733</v>
      </c>
    </row>
    <row r="22" spans="1:9">
      <c r="A22" t="s">
        <v>25</v>
      </c>
      <c r="B22" s="12">
        <v>2</v>
      </c>
      <c r="C22" s="12">
        <v>4149.37115</v>
      </c>
      <c r="D22" s="12">
        <v>117.217258453369</v>
      </c>
      <c r="E22" s="13">
        <v>4276.27789</v>
      </c>
      <c r="F22" s="12"/>
      <c r="G22" s="12"/>
      <c r="H22" s="12">
        <v>56555</v>
      </c>
      <c r="I22">
        <f t="shared" si="0"/>
        <v>245.207637803913</v>
      </c>
    </row>
    <row r="23" spans="1:9">
      <c r="A23" t="s">
        <v>26</v>
      </c>
      <c r="B23">
        <v>0</v>
      </c>
      <c r="I23" t="e">
        <f t="shared" si="0"/>
        <v>#DIV/0!</v>
      </c>
    </row>
    <row r="24" spans="1:9">
      <c r="A24" t="s">
        <v>27</v>
      </c>
      <c r="B24">
        <v>2</v>
      </c>
      <c r="C24" t="s">
        <v>28</v>
      </c>
      <c r="D24">
        <v>1235.6283</v>
      </c>
      <c r="E24">
        <v>8057.8223</v>
      </c>
      <c r="H24">
        <v>43482</v>
      </c>
      <c r="I24">
        <f t="shared" si="0"/>
        <v>130.1314376218</v>
      </c>
    </row>
    <row r="25" spans="1:9">
      <c r="A25" t="s">
        <v>29</v>
      </c>
      <c r="B25" s="3">
        <v>2</v>
      </c>
      <c r="C25" s="3">
        <v>6437.519</v>
      </c>
      <c r="D25" s="3">
        <v>266.8893</v>
      </c>
      <c r="E25" s="3">
        <v>6704.5425</v>
      </c>
      <c r="F25" s="3"/>
      <c r="G25" s="3"/>
      <c r="H25" s="3">
        <v>43488</v>
      </c>
      <c r="I25">
        <f t="shared" si="0"/>
        <v>156.397845192271</v>
      </c>
    </row>
    <row r="26" s="5" customFormat="1" spans="9:9">
      <c r="I26" t="e">
        <f t="shared" si="0"/>
        <v>#DIV/0!</v>
      </c>
    </row>
    <row r="27" spans="1:9">
      <c r="A27" t="s">
        <v>30</v>
      </c>
      <c r="I27" t="e">
        <f t="shared" si="0"/>
        <v>#DIV/0!</v>
      </c>
    </row>
    <row r="28" spans="1:9">
      <c r="A28" s="2" t="s">
        <v>31</v>
      </c>
      <c r="H28" s="11"/>
      <c r="I28" t="e">
        <f t="shared" si="0"/>
        <v>#DIV/0!</v>
      </c>
    </row>
    <row r="29" spans="1:9">
      <c r="A29" s="2" t="s">
        <v>32</v>
      </c>
      <c r="B29" s="12"/>
      <c r="C29" s="12"/>
      <c r="D29" s="12"/>
      <c r="E29" s="13"/>
      <c r="F29" s="12"/>
      <c r="G29" s="12"/>
      <c r="H29" s="12"/>
      <c r="I29" t="e">
        <f t="shared" si="0"/>
        <v>#DIV/0!</v>
      </c>
    </row>
    <row r="30" spans="1:9">
      <c r="A30" s="2" t="s">
        <v>33</v>
      </c>
      <c r="I30" t="e">
        <f t="shared" si="0"/>
        <v>#DIV/0!</v>
      </c>
    </row>
    <row r="31" spans="1:9">
      <c r="A31" s="2" t="s">
        <v>34</v>
      </c>
      <c r="I31" t="e">
        <f t="shared" si="0"/>
        <v>#DIV/0!</v>
      </c>
    </row>
    <row r="32" spans="1:9">
      <c r="A32" s="2" t="s">
        <v>35</v>
      </c>
      <c r="B32" s="3"/>
      <c r="C32" s="3"/>
      <c r="D32" s="3"/>
      <c r="E32" s="3"/>
      <c r="F32" s="3"/>
      <c r="G32" s="3"/>
      <c r="H32" s="3"/>
      <c r="I32" t="e">
        <f t="shared" si="0"/>
        <v>#DIV/0!</v>
      </c>
    </row>
    <row r="33" spans="11:11">
      <c r="K33" s="2" t="s">
        <v>36</v>
      </c>
    </row>
    <row r="34" spans="1:1">
      <c r="A34" s="2" t="s">
        <v>37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zoomScale="85" zoomScaleNormal="85" workbookViewId="0">
      <selection activeCell="H25" sqref="H25"/>
    </sheetView>
  </sheetViews>
  <sheetFormatPr defaultColWidth="9" defaultRowHeight="14.25" outlineLevelCol="7"/>
  <cols>
    <col min="1" max="1" width="23.25" customWidth="1"/>
    <col min="2" max="2" width="20" customWidth="1"/>
    <col min="3" max="3" width="25.375" customWidth="1"/>
    <col min="4" max="4" width="30.125" customWidth="1"/>
    <col min="5" max="5" width="19.375" customWidth="1"/>
    <col min="6" max="6" width="19.75" customWidth="1"/>
    <col min="7" max="7" width="7.75" customWidth="1"/>
    <col min="8" max="8" width="61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8</v>
      </c>
      <c r="H1" s="4" t="s">
        <v>38</v>
      </c>
    </row>
    <row r="2" spans="1:8">
      <c r="A2" s="10" t="s">
        <v>39</v>
      </c>
      <c r="B2">
        <v>8</v>
      </c>
      <c r="C2">
        <v>177.895176649093</v>
      </c>
      <c r="D2">
        <v>6.36095213890075</v>
      </c>
      <c r="E2">
        <v>184.507</v>
      </c>
      <c r="F2">
        <f t="shared" ref="F2:F27" si="0">4096*256/E:E</f>
        <v>5683.12313353965</v>
      </c>
      <c r="H2" s="4" t="s">
        <v>40</v>
      </c>
    </row>
    <row r="3" spans="1:8">
      <c r="A3" t="s">
        <v>9</v>
      </c>
      <c r="B3">
        <v>8</v>
      </c>
      <c r="C3">
        <v>257.762228488922</v>
      </c>
      <c r="D3">
        <v>6.31897807121276</v>
      </c>
      <c r="E3">
        <v>264.4177</v>
      </c>
      <c r="F3">
        <f t="shared" si="0"/>
        <v>3965.60442058153</v>
      </c>
      <c r="H3" s="4" t="s">
        <v>41</v>
      </c>
    </row>
    <row r="4" spans="1:8">
      <c r="A4" t="s">
        <v>11</v>
      </c>
      <c r="B4">
        <v>4</v>
      </c>
      <c r="C4">
        <v>168.46</v>
      </c>
      <c r="D4">
        <v>10.86</v>
      </c>
      <c r="E4">
        <v>179.36</v>
      </c>
      <c r="F4">
        <f t="shared" si="0"/>
        <v>5846.20874219447</v>
      </c>
      <c r="H4" s="4" t="s">
        <v>42</v>
      </c>
    </row>
    <row r="5" spans="1:8">
      <c r="A5" t="s">
        <v>12</v>
      </c>
      <c r="B5">
        <v>4</v>
      </c>
      <c r="C5">
        <v>358.164</v>
      </c>
      <c r="D5">
        <v>51.9331</v>
      </c>
      <c r="E5">
        <v>410.1271</v>
      </c>
      <c r="F5">
        <f t="shared" si="0"/>
        <v>2556.70985896811</v>
      </c>
      <c r="H5" s="4" t="s">
        <v>43</v>
      </c>
    </row>
    <row r="6" spans="1:8">
      <c r="A6" s="10" t="s">
        <v>44</v>
      </c>
      <c r="B6">
        <v>4</v>
      </c>
      <c r="C6">
        <v>198.1763</v>
      </c>
      <c r="D6">
        <v>10.6255</v>
      </c>
      <c r="E6">
        <v>209.5639</v>
      </c>
      <c r="F6">
        <f t="shared" si="0"/>
        <v>5003.60987746458</v>
      </c>
      <c r="H6" s="4" t="s">
        <v>45</v>
      </c>
    </row>
    <row r="7" spans="1:8">
      <c r="A7" t="s">
        <v>13</v>
      </c>
      <c r="B7">
        <v>4</v>
      </c>
      <c r="C7">
        <v>265.2219</v>
      </c>
      <c r="D7">
        <v>10.5116</v>
      </c>
      <c r="E7">
        <v>275.8021</v>
      </c>
      <c r="F7">
        <f t="shared" si="0"/>
        <v>3801.91448868591</v>
      </c>
      <c r="H7" s="4" t="s">
        <v>46</v>
      </c>
    </row>
    <row r="8" spans="1:8">
      <c r="A8" s="5"/>
      <c r="B8" s="5"/>
      <c r="C8" s="5"/>
      <c r="D8" s="5"/>
      <c r="E8" s="5"/>
      <c r="F8" t="e">
        <f t="shared" si="0"/>
        <v>#DIV/0!</v>
      </c>
      <c r="H8" s="4" t="s">
        <v>47</v>
      </c>
    </row>
    <row r="9" spans="1:8">
      <c r="A9" t="s">
        <v>14</v>
      </c>
      <c r="B9">
        <v>8</v>
      </c>
      <c r="C9" s="1">
        <v>673.185277700424</v>
      </c>
      <c r="D9" s="1">
        <v>22.9651610851287</v>
      </c>
      <c r="E9">
        <v>697.1679</v>
      </c>
      <c r="F9">
        <f t="shared" si="0"/>
        <v>1504.05088931949</v>
      </c>
      <c r="H9" s="4" t="s">
        <v>48</v>
      </c>
    </row>
    <row r="10" spans="1:8">
      <c r="A10" t="s">
        <v>16</v>
      </c>
      <c r="B10">
        <v>0</v>
      </c>
      <c r="C10" s="1"/>
      <c r="F10" t="e">
        <f t="shared" si="0"/>
        <v>#DIV/0!</v>
      </c>
      <c r="H10" s="4" t="s">
        <v>49</v>
      </c>
    </row>
    <row r="11" spans="1:8">
      <c r="A11" t="s">
        <v>17</v>
      </c>
      <c r="B11">
        <v>4</v>
      </c>
      <c r="C11">
        <v>1568.8315</v>
      </c>
      <c r="D11">
        <v>220.8584</v>
      </c>
      <c r="E11">
        <v>1789.781</v>
      </c>
      <c r="F11">
        <f t="shared" si="0"/>
        <v>585.868326907035</v>
      </c>
      <c r="H11" s="4" t="s">
        <v>50</v>
      </c>
    </row>
    <row r="12" spans="1:8">
      <c r="A12" t="s">
        <v>18</v>
      </c>
      <c r="B12" s="3">
        <v>4</v>
      </c>
      <c r="C12" s="3">
        <v>1031.7101</v>
      </c>
      <c r="D12" s="3">
        <v>53.0824</v>
      </c>
      <c r="E12" s="3">
        <v>1084.8794</v>
      </c>
      <c r="F12">
        <f t="shared" si="0"/>
        <v>966.536925671185</v>
      </c>
      <c r="H12" s="4" t="s">
        <v>51</v>
      </c>
    </row>
    <row r="13" spans="1:6">
      <c r="A13" s="5"/>
      <c r="B13" s="5"/>
      <c r="C13" s="5"/>
      <c r="D13" s="5"/>
      <c r="E13" s="5"/>
      <c r="F13" t="e">
        <f t="shared" si="0"/>
        <v>#DIV/0!</v>
      </c>
    </row>
    <row r="14" spans="1:6">
      <c r="A14" t="s">
        <v>19</v>
      </c>
      <c r="B14">
        <v>8</v>
      </c>
      <c r="C14" s="1">
        <v>1386.24567985534</v>
      </c>
      <c r="D14" s="1">
        <v>59.091078042984</v>
      </c>
      <c r="E14">
        <v>1447.1415</v>
      </c>
      <c r="F14">
        <f t="shared" si="0"/>
        <v>724.584292551903</v>
      </c>
    </row>
    <row r="15" spans="1:6">
      <c r="A15" t="s">
        <v>21</v>
      </c>
      <c r="B15">
        <v>0</v>
      </c>
      <c r="F15" t="e">
        <f t="shared" si="0"/>
        <v>#DIV/0!</v>
      </c>
    </row>
    <row r="16" spans="1:6">
      <c r="A16" t="s">
        <v>22</v>
      </c>
      <c r="B16">
        <v>4</v>
      </c>
      <c r="C16" s="6">
        <v>4142.1772</v>
      </c>
      <c r="D16">
        <v>528.5361</v>
      </c>
      <c r="E16">
        <v>4670.7925</v>
      </c>
      <c r="F16">
        <f t="shared" si="0"/>
        <v>224.496378291264</v>
      </c>
    </row>
    <row r="17" spans="1:6">
      <c r="A17" t="s">
        <v>23</v>
      </c>
      <c r="B17" s="3">
        <v>4</v>
      </c>
      <c r="C17" s="3">
        <v>2206.2207</v>
      </c>
      <c r="D17" s="3">
        <v>133.4609</v>
      </c>
      <c r="E17" s="3">
        <v>2339.7781</v>
      </c>
      <c r="F17">
        <f t="shared" si="0"/>
        <v>448.151899532695</v>
      </c>
    </row>
    <row r="18" spans="1:6">
      <c r="A18" s="5"/>
      <c r="B18" s="5"/>
      <c r="C18" s="5"/>
      <c r="D18" s="5"/>
      <c r="E18" s="5"/>
      <c r="F18" t="e">
        <f t="shared" si="0"/>
        <v>#DIV/0!</v>
      </c>
    </row>
    <row r="19" spans="1:6">
      <c r="A19" t="s">
        <v>24</v>
      </c>
      <c r="B19">
        <v>4</v>
      </c>
      <c r="C19" s="1">
        <v>3142.38037371635</v>
      </c>
      <c r="D19" s="1">
        <v>110.848156452178</v>
      </c>
      <c r="E19" s="1">
        <v>3256.6006</v>
      </c>
      <c r="F19">
        <f t="shared" si="0"/>
        <v>321.984832895996</v>
      </c>
    </row>
    <row r="20" spans="1:6">
      <c r="A20" t="s">
        <v>26</v>
      </c>
      <c r="B20">
        <v>0</v>
      </c>
      <c r="F20" t="e">
        <f t="shared" si="0"/>
        <v>#DIV/0!</v>
      </c>
    </row>
    <row r="21" spans="1:6">
      <c r="A21" t="s">
        <v>27</v>
      </c>
      <c r="B21">
        <v>2</v>
      </c>
      <c r="C21" s="10">
        <v>17394.8008</v>
      </c>
      <c r="D21">
        <v>1322.4639</v>
      </c>
      <c r="E21">
        <v>18717.5723</v>
      </c>
      <c r="F21">
        <f t="shared" si="0"/>
        <v>56.0209402797392</v>
      </c>
    </row>
    <row r="22" spans="1:6">
      <c r="A22" t="s">
        <v>29</v>
      </c>
      <c r="B22" s="3">
        <v>2</v>
      </c>
      <c r="C22" s="3">
        <v>6437.519</v>
      </c>
      <c r="D22" s="3">
        <v>266.8893</v>
      </c>
      <c r="E22" s="3">
        <v>6704.5425</v>
      </c>
      <c r="F22">
        <f t="shared" si="0"/>
        <v>156.397845192271</v>
      </c>
    </row>
    <row r="23" spans="1:6">
      <c r="A23" s="5"/>
      <c r="B23" s="5"/>
      <c r="C23" s="5"/>
      <c r="D23" s="5"/>
      <c r="E23" s="5"/>
      <c r="F23" t="e">
        <f t="shared" si="0"/>
        <v>#DIV/0!</v>
      </c>
    </row>
    <row r="24" spans="1:6">
      <c r="A24" s="2" t="s">
        <v>31</v>
      </c>
      <c r="B24" s="2">
        <v>2</v>
      </c>
      <c r="C24">
        <v>7060.12521362</v>
      </c>
      <c r="D24">
        <v>207.604192018508</v>
      </c>
      <c r="E24">
        <f>C:C+D:D</f>
        <v>7267.72940563851</v>
      </c>
      <c r="F24">
        <f t="shared" si="0"/>
        <v>144.278349051698</v>
      </c>
    </row>
    <row r="25" spans="1:6">
      <c r="A25" s="2" t="s">
        <v>33</v>
      </c>
      <c r="B25">
        <v>0</v>
      </c>
      <c r="F25" t="e">
        <f t="shared" si="0"/>
        <v>#DIV/0!</v>
      </c>
    </row>
    <row r="26" spans="1:6">
      <c r="A26" s="2" t="s">
        <v>34</v>
      </c>
      <c r="B26" s="2">
        <v>1</v>
      </c>
      <c r="C26">
        <v>18627.6309</v>
      </c>
      <c r="D26">
        <v>1295.7582</v>
      </c>
      <c r="E26" s="2">
        <v>19923.5078</v>
      </c>
      <c r="F26">
        <f t="shared" si="0"/>
        <v>52.6300895668583</v>
      </c>
    </row>
    <row r="27" spans="1:6">
      <c r="A27" s="2" t="s">
        <v>35</v>
      </c>
      <c r="B27" s="9">
        <v>0</v>
      </c>
      <c r="C27" s="3"/>
      <c r="D27" s="3"/>
      <c r="E27" s="3"/>
      <c r="F27" t="e">
        <f t="shared" si="0"/>
        <v>#DIV/0!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1" sqref="B31"/>
    </sheetView>
  </sheetViews>
  <sheetFormatPr defaultColWidth="9" defaultRowHeight="14.2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zoomScale="85" zoomScaleNormal="85" workbookViewId="0">
      <selection activeCell="A17" sqref="A17:F25"/>
    </sheetView>
  </sheetViews>
  <sheetFormatPr defaultColWidth="9" defaultRowHeight="14.25"/>
  <cols>
    <col min="1" max="1" width="25.5" customWidth="1"/>
    <col min="2" max="2" width="18" customWidth="1"/>
    <col min="3" max="3" width="26.375" customWidth="1"/>
    <col min="4" max="4" width="15.75" customWidth="1"/>
    <col min="5" max="5" width="22.5" customWidth="1"/>
    <col min="6" max="6" width="29" customWidth="1"/>
    <col min="9" max="9" width="46.0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8</v>
      </c>
    </row>
    <row r="2" spans="1:9">
      <c r="A2" t="s">
        <v>9</v>
      </c>
      <c r="I2" s="4" t="s">
        <v>43</v>
      </c>
    </row>
    <row r="3" spans="1:9">
      <c r="A3" t="s">
        <v>11</v>
      </c>
      <c r="I3" s="4" t="s">
        <v>45</v>
      </c>
    </row>
    <row r="4" spans="1:9">
      <c r="A4" t="s">
        <v>12</v>
      </c>
      <c r="I4" s="4" t="s">
        <v>46</v>
      </c>
    </row>
    <row r="5" spans="1:9">
      <c r="A5" t="s">
        <v>13</v>
      </c>
      <c r="I5" s="4" t="s">
        <v>47</v>
      </c>
    </row>
    <row r="6" spans="1:9">
      <c r="A6" s="5"/>
      <c r="B6" s="5"/>
      <c r="C6" s="5"/>
      <c r="D6" s="5"/>
      <c r="E6" s="5"/>
      <c r="F6" t="e">
        <f>4096*256/E:E</f>
        <v>#DIV/0!</v>
      </c>
      <c r="I6" s="4" t="s">
        <v>48</v>
      </c>
    </row>
    <row r="7" spans="1:9">
      <c r="A7" t="s">
        <v>14</v>
      </c>
      <c r="I7" s="4" t="s">
        <v>49</v>
      </c>
    </row>
    <row r="8" spans="1:9">
      <c r="A8" t="s">
        <v>16</v>
      </c>
      <c r="I8" s="4" t="s">
        <v>50</v>
      </c>
    </row>
    <row r="9" spans="1:9">
      <c r="A9" t="s">
        <v>17</v>
      </c>
      <c r="I9" s="4" t="s">
        <v>51</v>
      </c>
    </row>
    <row r="10" spans="1:5">
      <c r="A10" t="s">
        <v>18</v>
      </c>
      <c r="B10" s="3"/>
      <c r="C10" s="3"/>
      <c r="D10" s="3"/>
      <c r="E10" s="3"/>
    </row>
    <row r="11" spans="1:6">
      <c r="A11" s="5"/>
      <c r="B11" s="5"/>
      <c r="C11" s="5"/>
      <c r="D11" s="5"/>
      <c r="E11" s="5"/>
      <c r="F11" t="e">
        <f>4096*256/E:E</f>
        <v>#DIV/0!</v>
      </c>
    </row>
    <row r="12" spans="1:1">
      <c r="A12" t="s">
        <v>19</v>
      </c>
    </row>
    <row r="13" spans="1:1">
      <c r="A13" t="s">
        <v>21</v>
      </c>
    </row>
    <row r="14" spans="1:3">
      <c r="A14" t="s">
        <v>22</v>
      </c>
      <c r="C14" s="6"/>
    </row>
    <row r="15" spans="1:5">
      <c r="A15" t="s">
        <v>23</v>
      </c>
      <c r="B15" s="3"/>
      <c r="C15" s="3"/>
      <c r="D15" s="3"/>
      <c r="E15" s="3"/>
    </row>
    <row r="16" spans="1:6">
      <c r="A16" s="5"/>
      <c r="B16" s="5"/>
      <c r="C16" s="5"/>
      <c r="D16" s="5"/>
      <c r="E16" s="5"/>
      <c r="F16" t="e">
        <f t="shared" ref="F16:F25" si="0">4096*256/E:E</f>
        <v>#DIV/0!</v>
      </c>
    </row>
    <row r="17" spans="1:6">
      <c r="A17" t="s">
        <v>24</v>
      </c>
      <c r="B17" s="2">
        <v>16</v>
      </c>
      <c r="C17" s="7">
        <v>1745.40984630584</v>
      </c>
      <c r="D17" s="1">
        <v>113.193779945373</v>
      </c>
      <c r="E17">
        <v>1863.5612</v>
      </c>
      <c r="F17">
        <f t="shared" si="0"/>
        <v>562.6732301574</v>
      </c>
    </row>
    <row r="18" spans="1:6">
      <c r="A18" t="s">
        <v>26</v>
      </c>
      <c r="F18" t="e">
        <f t="shared" si="0"/>
        <v>#DIV/0!</v>
      </c>
    </row>
    <row r="19" spans="1:6">
      <c r="A19" t="s">
        <v>27</v>
      </c>
      <c r="B19">
        <v>2</v>
      </c>
      <c r="C19">
        <v>4950.3892</v>
      </c>
      <c r="D19">
        <v>639.8823</v>
      </c>
      <c r="E19">
        <v>5590.4512</v>
      </c>
      <c r="F19">
        <f t="shared" si="0"/>
        <v>187.565540327049</v>
      </c>
    </row>
    <row r="20" spans="1:6">
      <c r="A20" t="s">
        <v>29</v>
      </c>
      <c r="B20" s="9">
        <v>2</v>
      </c>
      <c r="C20" s="9">
        <v>3382.6511</v>
      </c>
      <c r="D20" s="3">
        <v>125.37</v>
      </c>
      <c r="E20" s="3">
        <v>3508.2231</v>
      </c>
      <c r="F20">
        <f t="shared" si="0"/>
        <v>298.890911470254</v>
      </c>
    </row>
    <row r="21" spans="1:6">
      <c r="A21" s="5"/>
      <c r="B21" s="5"/>
      <c r="C21" s="5"/>
      <c r="D21" s="5"/>
      <c r="E21" s="5"/>
      <c r="F21" t="e">
        <f t="shared" si="0"/>
        <v>#DIV/0!</v>
      </c>
    </row>
    <row r="22" spans="1:6">
      <c r="A22" s="2" t="s">
        <v>31</v>
      </c>
      <c r="B22" s="2">
        <v>8</v>
      </c>
      <c r="C22" s="1">
        <v>3295.83152294158</v>
      </c>
      <c r="D22" s="1">
        <v>168.610877275466</v>
      </c>
      <c r="E22">
        <v>3478.4769</v>
      </c>
      <c r="F22">
        <f t="shared" si="0"/>
        <v>301.446877511246</v>
      </c>
    </row>
    <row r="23" spans="1:6">
      <c r="A23" s="2" t="s">
        <v>33</v>
      </c>
      <c r="F23" t="e">
        <f t="shared" si="0"/>
        <v>#DIV/0!</v>
      </c>
    </row>
    <row r="24" spans="1:6">
      <c r="A24" s="2" t="s">
        <v>34</v>
      </c>
      <c r="B24" s="2"/>
      <c r="C24">
        <v>17953.2109</v>
      </c>
      <c r="D24">
        <v>1249.1321</v>
      </c>
      <c r="E24" s="2">
        <v>19202.7617</v>
      </c>
      <c r="F24">
        <f t="shared" si="0"/>
        <v>54.6054789608726</v>
      </c>
    </row>
    <row r="25" spans="1:6">
      <c r="A25" s="2" t="s">
        <v>35</v>
      </c>
      <c r="B25" s="9"/>
      <c r="C25" s="3"/>
      <c r="D25" s="3"/>
      <c r="E25" s="3"/>
      <c r="F25" t="e">
        <f t="shared" si="0"/>
        <v>#DIV/0!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zoomScale="85" zoomScaleNormal="85" workbookViewId="0">
      <selection activeCell="A17" sqref="A17:F27"/>
    </sheetView>
  </sheetViews>
  <sheetFormatPr defaultColWidth="9" defaultRowHeight="14.25" outlineLevelCol="7"/>
  <cols>
    <col min="1" max="1" width="30.125" customWidth="1"/>
    <col min="2" max="2" width="19.125" customWidth="1"/>
    <col min="3" max="3" width="27.375" customWidth="1"/>
    <col min="4" max="4" width="16.125" customWidth="1"/>
    <col min="5" max="5" width="25.125" customWidth="1"/>
    <col min="6" max="6" width="43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8</v>
      </c>
    </row>
    <row r="2" spans="1:8">
      <c r="A2" t="s">
        <v>9</v>
      </c>
      <c r="H2" s="4" t="s">
        <v>43</v>
      </c>
    </row>
    <row r="3" spans="1:8">
      <c r="A3" t="s">
        <v>11</v>
      </c>
      <c r="H3" s="4" t="s">
        <v>45</v>
      </c>
    </row>
    <row r="4" spans="1:8">
      <c r="A4" t="s">
        <v>12</v>
      </c>
      <c r="H4" s="4" t="s">
        <v>46</v>
      </c>
    </row>
    <row r="5" spans="1:8">
      <c r="A5" t="s">
        <v>13</v>
      </c>
      <c r="H5" s="4" t="s">
        <v>47</v>
      </c>
    </row>
    <row r="6" spans="1:8">
      <c r="A6" s="5"/>
      <c r="B6" s="5"/>
      <c r="C6" s="5"/>
      <c r="D6" s="5"/>
      <c r="E6" s="5"/>
      <c r="F6" t="e">
        <f>4096*256/E:E</f>
        <v>#DIV/0!</v>
      </c>
      <c r="H6" s="4" t="s">
        <v>48</v>
      </c>
    </row>
    <row r="7" spans="1:8">
      <c r="A7" t="s">
        <v>14</v>
      </c>
      <c r="H7" s="4" t="s">
        <v>49</v>
      </c>
    </row>
    <row r="8" spans="1:8">
      <c r="A8" t="s">
        <v>16</v>
      </c>
      <c r="H8" s="4" t="s">
        <v>50</v>
      </c>
    </row>
    <row r="9" spans="1:8">
      <c r="A9" t="s">
        <v>17</v>
      </c>
      <c r="H9" s="4" t="s">
        <v>51</v>
      </c>
    </row>
    <row r="10" spans="1:5">
      <c r="A10" t="s">
        <v>18</v>
      </c>
      <c r="B10" s="3"/>
      <c r="C10" s="3"/>
      <c r="D10" s="3"/>
      <c r="E10" s="3"/>
    </row>
    <row r="11" spans="1:6">
      <c r="A11" s="5"/>
      <c r="B11" s="5"/>
      <c r="C11" s="5"/>
      <c r="D11" s="5"/>
      <c r="E11" s="5"/>
      <c r="F11" t="e">
        <f>4096*256/E:E</f>
        <v>#DIV/0!</v>
      </c>
    </row>
    <row r="12" spans="1:1">
      <c r="A12" t="s">
        <v>19</v>
      </c>
    </row>
    <row r="13" spans="1:1">
      <c r="A13" t="s">
        <v>21</v>
      </c>
    </row>
    <row r="14" spans="1:3">
      <c r="A14" t="s">
        <v>22</v>
      </c>
      <c r="C14" s="6"/>
    </row>
    <row r="15" spans="1:5">
      <c r="A15" t="s">
        <v>23</v>
      </c>
      <c r="B15" s="3"/>
      <c r="C15" s="3"/>
      <c r="D15" s="3"/>
      <c r="E15" s="3"/>
    </row>
    <row r="16" spans="1:6">
      <c r="A16" s="5"/>
      <c r="B16" s="5"/>
      <c r="C16" s="5"/>
      <c r="D16" s="5"/>
      <c r="E16" s="5"/>
      <c r="F16" t="e">
        <f t="shared" ref="F16:F27" si="0">4096*256/E:E</f>
        <v>#DIV/0!</v>
      </c>
    </row>
    <row r="17" spans="1:6">
      <c r="A17" t="s">
        <v>24</v>
      </c>
      <c r="B17">
        <v>32</v>
      </c>
      <c r="C17" s="7">
        <v>976.488440752029</v>
      </c>
      <c r="D17" s="1">
        <v>121.583723068237</v>
      </c>
      <c r="E17" s="2">
        <v>1099.5605</v>
      </c>
      <c r="F17">
        <f t="shared" si="0"/>
        <v>953.631928393208</v>
      </c>
    </row>
    <row r="18" hidden="1" spans="1:6">
      <c r="A18" t="s">
        <v>52</v>
      </c>
      <c r="B18">
        <v>32</v>
      </c>
      <c r="C18">
        <v>1082.43252993</v>
      </c>
      <c r="D18">
        <v>114.575635910034</v>
      </c>
      <c r="E18">
        <v>1198.12666496</v>
      </c>
      <c r="F18">
        <f t="shared" si="0"/>
        <v>875.17958715576</v>
      </c>
    </row>
    <row r="19" spans="1:6">
      <c r="A19" t="s">
        <v>26</v>
      </c>
      <c r="F19" t="e">
        <f t="shared" si="0"/>
        <v>#DIV/0!</v>
      </c>
    </row>
    <row r="20" spans="1:6">
      <c r="A20" t="s">
        <v>27</v>
      </c>
      <c r="C20">
        <v>1554.5291</v>
      </c>
      <c r="D20">
        <v>401.4821</v>
      </c>
      <c r="E20">
        <v>1956.0918</v>
      </c>
      <c r="F20">
        <f t="shared" si="0"/>
        <v>536.056641104472</v>
      </c>
    </row>
    <row r="21" spans="1:6">
      <c r="A21" t="s">
        <v>29</v>
      </c>
      <c r="B21" s="3">
        <v>2</v>
      </c>
      <c r="C21" s="3">
        <v>1196.4294</v>
      </c>
      <c r="D21" s="3">
        <v>85.7076</v>
      </c>
      <c r="E21" s="3">
        <v>1282.2194</v>
      </c>
      <c r="F21">
        <f t="shared" si="0"/>
        <v>817.782042605189</v>
      </c>
    </row>
    <row r="22" spans="1:6">
      <c r="A22" s="5"/>
      <c r="B22" s="5"/>
      <c r="C22" s="5"/>
      <c r="D22" s="5"/>
      <c r="E22" s="5"/>
      <c r="F22" t="e">
        <f t="shared" si="0"/>
        <v>#DIV/0!</v>
      </c>
    </row>
    <row r="23" spans="1:6">
      <c r="A23" s="2" t="s">
        <v>31</v>
      </c>
      <c r="B23" s="2">
        <v>16</v>
      </c>
      <c r="C23" s="14" t="s">
        <v>53</v>
      </c>
      <c r="D23" s="14" t="s">
        <v>54</v>
      </c>
      <c r="E23">
        <v>1881.5667</v>
      </c>
      <c r="F23">
        <f t="shared" si="0"/>
        <v>557.288774296441</v>
      </c>
    </row>
    <row r="24" spans="1:6">
      <c r="A24" s="2" t="s">
        <v>33</v>
      </c>
      <c r="F24" t="e">
        <f t="shared" si="0"/>
        <v>#DIV/0!</v>
      </c>
    </row>
    <row r="25" ht="15.75" spans="1:6">
      <c r="A25" s="2" t="s">
        <v>34</v>
      </c>
      <c r="B25" s="2">
        <v>2</v>
      </c>
      <c r="C25">
        <v>5098.3115</v>
      </c>
      <c r="D25" s="8">
        <v>734.9014</v>
      </c>
      <c r="E25" s="2">
        <v>5833.415</v>
      </c>
      <c r="F25">
        <f t="shared" si="0"/>
        <v>179.753369167117</v>
      </c>
    </row>
    <row r="26" spans="1:6">
      <c r="A26" s="2" t="s">
        <v>35</v>
      </c>
      <c r="B26" s="9"/>
      <c r="C26" s="3"/>
      <c r="D26" s="3"/>
      <c r="E26" s="3"/>
      <c r="F26" t="e">
        <f t="shared" si="0"/>
        <v>#DIV/0!</v>
      </c>
    </row>
    <row r="27" spans="6:6">
      <c r="F27" t="e">
        <f t="shared" si="0"/>
        <v>#DIV/0!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tabSelected="1" workbookViewId="0">
      <selection activeCell="A13" sqref="A13"/>
    </sheetView>
  </sheetViews>
  <sheetFormatPr defaultColWidth="8.875" defaultRowHeight="14.25"/>
  <cols>
    <col min="1" max="1" width="29.75" customWidth="1"/>
    <col min="2" max="2" width="21.625" customWidth="1"/>
    <col min="3" max="3" width="24.875" customWidth="1"/>
    <col min="4" max="4" width="23" customWidth="1"/>
    <col min="5" max="5" width="21.75" customWidth="1"/>
    <col min="6" max="6" width="17" customWidth="1"/>
    <col min="7" max="7" width="18.875" customWidth="1"/>
    <col min="8" max="8" width="11.5" customWidth="1"/>
  </cols>
  <sheetData>
    <row r="1" spans="2:8">
      <c r="B1" t="s">
        <v>1</v>
      </c>
      <c r="C1" t="s">
        <v>2</v>
      </c>
      <c r="D1" t="s">
        <v>3</v>
      </c>
      <c r="E1" t="s">
        <v>4</v>
      </c>
      <c r="F1" t="s">
        <v>55</v>
      </c>
      <c r="G1" t="s">
        <v>56</v>
      </c>
      <c r="H1" t="s">
        <v>57</v>
      </c>
    </row>
    <row r="2" spans="1:9">
      <c r="A2" t="s">
        <v>24</v>
      </c>
      <c r="B2">
        <v>32</v>
      </c>
      <c r="C2" s="1">
        <v>482.328221321105</v>
      </c>
      <c r="D2" s="1">
        <v>120.076145410537</v>
      </c>
      <c r="E2" s="2">
        <v>607.4099</v>
      </c>
      <c r="F2">
        <v>85.5</v>
      </c>
      <c r="G2">
        <v>113.62471</v>
      </c>
      <c r="H2">
        <v>65535</v>
      </c>
      <c r="I2">
        <f>4096*256/E:E</f>
        <v>1726.30706216675</v>
      </c>
    </row>
    <row r="3" spans="1:9">
      <c r="A3" t="s">
        <v>58</v>
      </c>
      <c r="B3" s="3">
        <v>0</v>
      </c>
      <c r="C3" s="3"/>
      <c r="D3" s="3"/>
      <c r="E3" s="3"/>
      <c r="F3" s="3"/>
      <c r="G3" s="3"/>
      <c r="H3" s="3"/>
      <c r="I3" t="e">
        <f>4096*256/E:E</f>
        <v>#DIV/0!</v>
      </c>
    </row>
    <row r="4" spans="1:9">
      <c r="A4" t="s">
        <v>27</v>
      </c>
      <c r="B4" t="s">
        <v>59</v>
      </c>
      <c r="C4">
        <v>584.5771</v>
      </c>
      <c r="D4">
        <v>239.3401</v>
      </c>
      <c r="E4">
        <v>823.9743</v>
      </c>
      <c r="I4">
        <f>4096*256/E:E</f>
        <v>1272.58338033116</v>
      </c>
    </row>
    <row r="5" spans="1:9">
      <c r="A5" t="s">
        <v>60</v>
      </c>
      <c r="B5" t="s">
        <v>59</v>
      </c>
      <c r="C5">
        <v>522.3033</v>
      </c>
      <c r="D5">
        <v>75.442</v>
      </c>
      <c r="E5">
        <v>597.7808</v>
      </c>
      <c r="H5">
        <v>65528</v>
      </c>
      <c r="I5">
        <f>4096*256/E:E</f>
        <v>1754.11455168851</v>
      </c>
    </row>
    <row r="9" spans="1:9">
      <c r="A9" t="s">
        <v>31</v>
      </c>
      <c r="B9">
        <v>8</v>
      </c>
      <c r="C9" s="1">
        <v>879.396005630493</v>
      </c>
      <c r="D9" s="1">
        <v>187.925841808319</v>
      </c>
      <c r="E9">
        <v>1069.1965</v>
      </c>
      <c r="I9">
        <f>4096*256/E:E</f>
        <v>980.714022165243</v>
      </c>
    </row>
    <row r="10" spans="1:9">
      <c r="A10" t="s">
        <v>61</v>
      </c>
      <c r="I10" t="e">
        <f>4096*256/E:E</f>
        <v>#DIV/0!</v>
      </c>
    </row>
    <row r="11" spans="1:9">
      <c r="A11" t="s">
        <v>33</v>
      </c>
      <c r="I11" t="e">
        <f>4096*256/E:E</f>
        <v>#DIV/0!</v>
      </c>
    </row>
    <row r="12" spans="1:9">
      <c r="A12" t="s">
        <v>62</v>
      </c>
      <c r="I12" t="e">
        <f>4096*256/E:E</f>
        <v>#DIV/0!</v>
      </c>
    </row>
    <row r="13" spans="1:9">
      <c r="A13" t="s">
        <v>63</v>
      </c>
      <c r="B13">
        <v>1</v>
      </c>
      <c r="C13">
        <v>1699.7681</v>
      </c>
      <c r="D13">
        <v>464.845</v>
      </c>
      <c r="E13">
        <v>2164.7449</v>
      </c>
      <c r="I13">
        <f>4096*256/E:E</f>
        <v>484.387790912453</v>
      </c>
    </row>
    <row r="18" customFormat="1" spans="1:1">
      <c r="A18" t="s">
        <v>64</v>
      </c>
    </row>
    <row r="20" spans="1:3">
      <c r="A20" s="4" t="s">
        <v>43</v>
      </c>
      <c r="B20" s="4" t="s">
        <v>43</v>
      </c>
      <c r="C20" s="4" t="s">
        <v>43</v>
      </c>
    </row>
    <row r="21" spans="1:3">
      <c r="A21" s="4" t="s">
        <v>45</v>
      </c>
      <c r="B21" s="4" t="s">
        <v>45</v>
      </c>
      <c r="C21" s="4" t="s">
        <v>45</v>
      </c>
    </row>
    <row r="22" spans="1:3">
      <c r="A22" s="4" t="s">
        <v>46</v>
      </c>
      <c r="B22" s="4" t="s">
        <v>46</v>
      </c>
      <c r="C22" s="4" t="s">
        <v>46</v>
      </c>
    </row>
    <row r="23" spans="1:3">
      <c r="A23" s="4" t="s">
        <v>47</v>
      </c>
      <c r="B23" s="4" t="s">
        <v>47</v>
      </c>
      <c r="C23" s="4" t="s">
        <v>47</v>
      </c>
    </row>
    <row r="24" spans="1:3">
      <c r="A24" s="4" t="s">
        <v>48</v>
      </c>
      <c r="B24" s="4" t="s">
        <v>48</v>
      </c>
      <c r="C24" s="4" t="s">
        <v>48</v>
      </c>
    </row>
    <row r="25" spans="1:3">
      <c r="A25" s="4" t="s">
        <v>49</v>
      </c>
      <c r="B25" s="4" t="s">
        <v>49</v>
      </c>
      <c r="C25" s="4" t="s">
        <v>49</v>
      </c>
    </row>
    <row r="26" spans="1:3">
      <c r="A26" s="4" t="s">
        <v>50</v>
      </c>
      <c r="B26" s="4" t="s">
        <v>50</v>
      </c>
      <c r="C26" s="4" t="s">
        <v>50</v>
      </c>
    </row>
    <row r="27" spans="1:3">
      <c r="A27" s="4" t="s">
        <v>51</v>
      </c>
      <c r="B27" s="4" t="s">
        <v>51</v>
      </c>
      <c r="C27" s="4" t="s">
        <v>51</v>
      </c>
    </row>
  </sheetData>
  <mergeCells count="1">
    <mergeCell ref="A18:XFD1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D19" sqref="D19"/>
    </sheetView>
  </sheetViews>
  <sheetFormatPr defaultColWidth="9" defaultRowHeight="14.25" outlineLevelCol="5"/>
  <cols>
    <col min="1" max="1" width="49.375" customWidth="1"/>
    <col min="2" max="2" width="63.625" customWidth="1"/>
    <col min="3" max="3" width="18.625" customWidth="1"/>
    <col min="4" max="4" width="21.125" customWidth="1"/>
    <col min="5" max="5" width="14.75" customWidth="1"/>
    <col min="6" max="6" width="14.875" customWidth="1"/>
  </cols>
  <sheetData>
    <row r="1" spans="2:6">
      <c r="B1" t="s">
        <v>65</v>
      </c>
      <c r="C1" t="s">
        <v>66</v>
      </c>
      <c r="D1" t="s">
        <v>67</v>
      </c>
      <c r="E1" t="s">
        <v>68</v>
      </c>
      <c r="F1" t="s">
        <v>6</v>
      </c>
    </row>
    <row r="2" spans="1:6">
      <c r="A2" t="s">
        <v>69</v>
      </c>
      <c r="B2">
        <v>16</v>
      </c>
      <c r="C2">
        <v>78.6577105522155</v>
      </c>
      <c r="D2">
        <v>2.73674488067626</v>
      </c>
      <c r="E2">
        <v>105.3</v>
      </c>
      <c r="F2">
        <v>136.5</v>
      </c>
    </row>
    <row r="3" spans="1:6">
      <c r="A3" t="s">
        <v>70</v>
      </c>
      <c r="B3">
        <v>8</v>
      </c>
      <c r="C3">
        <v>154.8463</v>
      </c>
      <c r="D3">
        <v>15.8407678604125</v>
      </c>
      <c r="E3">
        <v>50.3</v>
      </c>
      <c r="F3">
        <v>65.2</v>
      </c>
    </row>
    <row r="4" spans="1:4">
      <c r="A4" t="s">
        <v>71</v>
      </c>
      <c r="B4">
        <v>16</v>
      </c>
      <c r="C4">
        <v>95.176</v>
      </c>
      <c r="D4">
        <v>17.2779</v>
      </c>
    </row>
    <row r="6" spans="1:6">
      <c r="A6" t="s">
        <v>72</v>
      </c>
      <c r="B6">
        <v>8</v>
      </c>
      <c r="C6">
        <v>787.03250837326</v>
      </c>
      <c r="D6">
        <v>21.3878495693206</v>
      </c>
      <c r="E6">
        <v>103.8</v>
      </c>
      <c r="F6">
        <v>137</v>
      </c>
    </row>
    <row r="8" spans="1:4">
      <c r="A8" t="s">
        <v>73</v>
      </c>
      <c r="B8">
        <v>8</v>
      </c>
      <c r="C8">
        <v>922.066</v>
      </c>
      <c r="D8">
        <v>190.0525</v>
      </c>
    </row>
    <row r="10" spans="1:6">
      <c r="A10" t="s">
        <v>74</v>
      </c>
      <c r="B10">
        <v>8</v>
      </c>
      <c r="C10">
        <v>1374.39489650726</v>
      </c>
      <c r="D10">
        <v>42.6622223854064</v>
      </c>
      <c r="E10">
        <v>118.4</v>
      </c>
      <c r="F10">
        <v>157</v>
      </c>
    </row>
    <row r="11" spans="1:2">
      <c r="A11" t="s">
        <v>70</v>
      </c>
      <c r="B11" t="s">
        <v>75</v>
      </c>
    </row>
    <row r="12" spans="1:4">
      <c r="A12" t="s">
        <v>71</v>
      </c>
      <c r="B12">
        <v>8</v>
      </c>
      <c r="C12">
        <v>2077.722</v>
      </c>
      <c r="D12">
        <v>411.4994</v>
      </c>
    </row>
    <row r="14" spans="1:6">
      <c r="A14" t="s">
        <v>76</v>
      </c>
      <c r="B14">
        <v>4</v>
      </c>
      <c r="C14">
        <v>3232.98701667785</v>
      </c>
      <c r="D14">
        <v>74.9203510284423</v>
      </c>
      <c r="E14">
        <v>121.1</v>
      </c>
      <c r="F14">
        <v>161</v>
      </c>
    </row>
    <row r="15" spans="1:1">
      <c r="A15" t="s">
        <v>77</v>
      </c>
    </row>
    <row r="16" spans="1:2">
      <c r="A16" t="s">
        <v>70</v>
      </c>
      <c r="B16" t="s">
        <v>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real</vt:lpstr>
      <vt:lpstr>1card-filter</vt:lpstr>
      <vt:lpstr>Sheet2</vt:lpstr>
      <vt:lpstr>2卡</vt:lpstr>
      <vt:lpstr>4卡</vt:lpstr>
      <vt:lpstr>8卡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Youmin Chen</dc:creator>
  <cp:lastModifiedBy>曾华旭</cp:lastModifiedBy>
  <dcterms:created xsi:type="dcterms:W3CDTF">2026-04-01T02:09:00Z</dcterms:created>
  <dcterms:modified xsi:type="dcterms:W3CDTF">2026-05-10T06:26:46Z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701F50F468E7403CA921AE981A5AECAB_13</vt:lpwstr>
  </property>
  <property fmtid="{D5CDD505-2E9C-101B-9397-08002B2CF9AE}" pid="3" name="KSOProductBuildVer">
    <vt:lpwstr>2052-12.1.0.21915</vt:lpwstr>
  </property>
</Properties>
</file>